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05" windowWidth="27795" windowHeight="1464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E52" i="1" l="1"/>
  <c r="E50" i="1"/>
  <c r="E38" i="1"/>
  <c r="E37" i="1"/>
  <c r="E28" i="1"/>
  <c r="E27" i="1"/>
  <c r="E19" i="1"/>
  <c r="E18" i="1"/>
  <c r="E17" i="1"/>
  <c r="F5" i="1"/>
  <c r="D5" i="1"/>
  <c r="E64" i="1" s="1"/>
  <c r="F4" i="1"/>
  <c r="D4" i="1"/>
  <c r="E16" i="1" s="1"/>
  <c r="E54" i="1" l="1"/>
  <c r="E33" i="1"/>
  <c r="E57" i="1"/>
  <c r="E21" i="1"/>
  <c r="E44" i="1"/>
  <c r="E60" i="1"/>
  <c r="E29" i="1"/>
  <c r="E41" i="1"/>
  <c r="E53" i="1"/>
  <c r="E20" i="1"/>
  <c r="E30" i="1"/>
  <c r="E42" i="1"/>
  <c r="E22" i="1"/>
  <c r="E34" i="1"/>
  <c r="E45" i="1"/>
  <c r="E58" i="1"/>
  <c r="E9" i="1"/>
  <c r="E25" i="1"/>
  <c r="E35" i="1"/>
  <c r="E46" i="1"/>
  <c r="E12" i="1"/>
  <c r="E26" i="1"/>
  <c r="E36" i="1"/>
  <c r="E49" i="1"/>
  <c r="E61" i="1"/>
  <c r="E10" i="1"/>
  <c r="E11" i="1"/>
  <c r="E43" i="1"/>
  <c r="E51" i="1"/>
  <c r="E59" i="1"/>
  <c r="E13" i="1"/>
  <c r="E62" i="1"/>
  <c r="E14" i="1"/>
  <c r="E15" i="1"/>
  <c r="E23" i="1"/>
  <c r="E31" i="1"/>
  <c r="E39" i="1"/>
  <c r="E47" i="1"/>
  <c r="E55" i="1"/>
  <c r="E63" i="1"/>
  <c r="E24" i="1"/>
  <c r="E32" i="1"/>
  <c r="E40" i="1"/>
  <c r="E48" i="1"/>
  <c r="E56" i="1"/>
</calcChain>
</file>

<file path=xl/comments1.xml><?xml version="1.0" encoding="utf-8"?>
<comments xmlns="http://schemas.openxmlformats.org/spreadsheetml/2006/main">
  <authors>
    <author>Gosaliya, Dheirya</author>
  </authors>
  <commentList>
    <comment ref="E9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12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13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14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15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16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17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18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19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20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21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22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25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26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27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28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29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30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31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32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33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34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35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36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37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38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39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40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41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42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43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44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45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46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47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48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49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50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52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53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54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55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56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57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58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59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60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61" authorId="0">
      <text>
        <r>
          <rPr>
            <b/>
            <sz val="9"/>
            <color indexed="81"/>
            <rFont val="Tahoma"/>
            <family val="2"/>
          </rPr>
          <t>React-Var_x000D_
 Block=C2 Variable=PRE-EXP Sentence=RATE-CON</t>
        </r>
      </text>
    </comment>
    <comment ref="E62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63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  <comment ref="E64" authorId="0">
      <text>
        <r>
          <rPr>
            <b/>
            <sz val="9"/>
            <color indexed="81"/>
            <rFont val="Tahoma"/>
            <family val="2"/>
          </rPr>
          <t>React-Var_x000D_
 Block=OTK Variable=PRE-EXP Sentence=RATE-CON</t>
        </r>
      </text>
    </comment>
  </commentList>
</comments>
</file>

<file path=xl/sharedStrings.xml><?xml version="1.0" encoding="utf-8"?>
<sst xmlns="http://schemas.openxmlformats.org/spreadsheetml/2006/main" count="169" uniqueCount="162">
  <si>
    <t>k</t>
  </si>
  <si>
    <t>E</t>
  </si>
  <si>
    <t>reaction</t>
  </si>
  <si>
    <t>1/h</t>
  </si>
  <si>
    <t>1/s</t>
  </si>
  <si>
    <t>cal/mol</t>
  </si>
  <si>
    <t>kJ/mol</t>
  </si>
  <si>
    <t>X + Y --&gt; (&lt;C9)</t>
  </si>
  <si>
    <t>k2</t>
  </si>
  <si>
    <t>X + Y --&gt; (=&gt;C9)</t>
  </si>
  <si>
    <t>k4</t>
  </si>
  <si>
    <t>factor</t>
  </si>
  <si>
    <t>x</t>
  </si>
  <si>
    <t>k_n</t>
  </si>
  <si>
    <t>#1</t>
  </si>
  <si>
    <t>C2 + C2 --&gt; C4</t>
  </si>
  <si>
    <t>KAA</t>
  </si>
  <si>
    <t>#2</t>
  </si>
  <si>
    <t>C3 + C2 --&gt; C5</t>
  </si>
  <si>
    <t>KBB</t>
  </si>
  <si>
    <t>#3</t>
  </si>
  <si>
    <t>C4 + C2 --&gt; C6</t>
  </si>
  <si>
    <t>KCC</t>
  </si>
  <si>
    <t>L/mole frac 24%</t>
  </si>
  <si>
    <t>C3 + C3 --&gt; C6</t>
  </si>
  <si>
    <t>KA</t>
  </si>
  <si>
    <t>H/mole frac 23%</t>
  </si>
  <si>
    <t>#4</t>
  </si>
  <si>
    <t>C5 + C2 --&gt; C7</t>
  </si>
  <si>
    <t>KDD</t>
  </si>
  <si>
    <t>H/mole frac 8%</t>
  </si>
  <si>
    <t>C4 + C3 --&gt; C7</t>
  </si>
  <si>
    <t>KB</t>
  </si>
  <si>
    <t>L/mole frac 0.6%</t>
  </si>
  <si>
    <t>#5</t>
  </si>
  <si>
    <t>C6 + C2 --&gt; C8</t>
  </si>
  <si>
    <t>KEE</t>
  </si>
  <si>
    <t>M/mole frac 46%</t>
  </si>
  <si>
    <t>C5 + C3 --&gt; C8</t>
  </si>
  <si>
    <t>KC</t>
  </si>
  <si>
    <t>L/mole frac 34%</t>
  </si>
  <si>
    <t>C4 + C4 --&gt; C8</t>
  </si>
  <si>
    <t>KD</t>
  </si>
  <si>
    <t>H/mole frac 33%</t>
  </si>
  <si>
    <t>#6</t>
  </si>
  <si>
    <t>C7 + C2 --&gt; C9</t>
  </si>
  <si>
    <t>KFF</t>
  </si>
  <si>
    <t>H/mole frac 0.18%</t>
  </si>
  <si>
    <t>C6 + C3 --&gt; C9</t>
  </si>
  <si>
    <t>KE</t>
  </si>
  <si>
    <t>L/mole frac .06%</t>
  </si>
  <si>
    <t>C5 + C4 --&gt; C9</t>
  </si>
  <si>
    <t>KF</t>
  </si>
  <si>
    <t>L/mole frac .04%</t>
  </si>
  <si>
    <t>#7</t>
  </si>
  <si>
    <t>C8 + C2 --&gt; C10</t>
  </si>
  <si>
    <t>KGG</t>
  </si>
  <si>
    <t>L/mole frac 19.3%</t>
  </si>
  <si>
    <t>C7 + C3 --&gt; C10</t>
  </si>
  <si>
    <t>KG</t>
  </si>
  <si>
    <t>Nill</t>
  </si>
  <si>
    <t>C6 + C4 --&gt; C10</t>
  </si>
  <si>
    <t>KH</t>
  </si>
  <si>
    <t>C5 + C5 --&gt; C10</t>
  </si>
  <si>
    <t>KI</t>
  </si>
  <si>
    <t>H/mole frac 18.5%</t>
  </si>
  <si>
    <t>#8</t>
  </si>
  <si>
    <t>C9 + C2 --&gt; C11</t>
  </si>
  <si>
    <t>KHH</t>
  </si>
  <si>
    <t>C8 + C3 --&gt; C11</t>
  </si>
  <si>
    <t>KJ</t>
  </si>
  <si>
    <t>L/mole frac .44%</t>
  </si>
  <si>
    <t>C7 + C4 --&gt; C11</t>
  </si>
  <si>
    <t>KK</t>
  </si>
  <si>
    <t>C6 + C5 --&gt; C11</t>
  </si>
  <si>
    <t>KL</t>
  </si>
  <si>
    <t>H/mole frac 0.42%</t>
  </si>
  <si>
    <t>#9</t>
  </si>
  <si>
    <t>C10 + C2 --&gt; C12</t>
  </si>
  <si>
    <t>KII</t>
  </si>
  <si>
    <t>H/mole frac 0.34%</t>
  </si>
  <si>
    <t>C9 + C3 --&gt; C12</t>
  </si>
  <si>
    <t>KM</t>
  </si>
  <si>
    <t>C8 + C4 --&gt; C12</t>
  </si>
  <si>
    <t>KN</t>
  </si>
  <si>
    <t>L/mole frac .1%</t>
  </si>
  <si>
    <t>C7 + C5 --&gt; C12</t>
  </si>
  <si>
    <t>KO</t>
  </si>
  <si>
    <t>M/mole frac .08%</t>
  </si>
  <si>
    <t>#10</t>
  </si>
  <si>
    <t>C11 + C2 --&gt; C13</t>
  </si>
  <si>
    <t>KJJ</t>
  </si>
  <si>
    <t>C10 + C3 --&gt; C13</t>
  </si>
  <si>
    <t>KP</t>
  </si>
  <si>
    <t>C9 + C4 --&gt; C13</t>
  </si>
  <si>
    <t>KQ</t>
  </si>
  <si>
    <t>C8 + C5 --&gt; C13</t>
  </si>
  <si>
    <t>KR</t>
  </si>
  <si>
    <t>H/mole frac 0.58%</t>
  </si>
  <si>
    <t>#11</t>
  </si>
  <si>
    <t>C12 + C2 --&gt; C14</t>
  </si>
  <si>
    <t>KKK</t>
  </si>
  <si>
    <t>C11 + C3 --&gt; C14</t>
  </si>
  <si>
    <t>KS</t>
  </si>
  <si>
    <t>C10 + C4 --&gt; C14</t>
  </si>
  <si>
    <t>KT</t>
  </si>
  <si>
    <t>C9 + C5 --&gt; C14</t>
  </si>
  <si>
    <t>KU</t>
  </si>
  <si>
    <t>#12</t>
  </si>
  <si>
    <t>C13 + C2 --&gt; C15</t>
  </si>
  <si>
    <t>KLL</t>
  </si>
  <si>
    <t>C12 + C3 --&gt; C15</t>
  </si>
  <si>
    <t>KV</t>
  </si>
  <si>
    <t>C11 + C4 --&gt; C15</t>
  </si>
  <si>
    <t>KW</t>
  </si>
  <si>
    <t>C10 + C5 --&gt; C15</t>
  </si>
  <si>
    <t>KX</t>
  </si>
  <si>
    <t>#13</t>
  </si>
  <si>
    <t>C14 + C2 --&gt; C16</t>
  </si>
  <si>
    <t>KMM</t>
  </si>
  <si>
    <t>C13 + C3 --&gt; C16</t>
  </si>
  <si>
    <t>KY</t>
  </si>
  <si>
    <t>C12 + C4 --&gt; C16</t>
  </si>
  <si>
    <t>KZ</t>
  </si>
  <si>
    <t>C11 + C5 --&gt; C16</t>
  </si>
  <si>
    <t>KKA</t>
  </si>
  <si>
    <t>#14</t>
  </si>
  <si>
    <t>C15 + C2 --&gt; C17</t>
  </si>
  <si>
    <t>KNN</t>
  </si>
  <si>
    <t>C14 + C3 --&gt; C17</t>
  </si>
  <si>
    <t>KKB</t>
  </si>
  <si>
    <t>C13 + C4 --&gt; C17</t>
  </si>
  <si>
    <t>KKC</t>
  </si>
  <si>
    <t>C12 + C5 --&gt; C17</t>
  </si>
  <si>
    <t>KKD</t>
  </si>
  <si>
    <t>#15</t>
  </si>
  <si>
    <t>C16 + C2 --&gt; C18</t>
  </si>
  <si>
    <t>KOO</t>
  </si>
  <si>
    <t>C15 + C3 --&gt; C18</t>
  </si>
  <si>
    <t>KKE</t>
  </si>
  <si>
    <t>C14 + C4 --&gt; C18</t>
  </si>
  <si>
    <t>KKF</t>
  </si>
  <si>
    <t>C13 + C5 --&gt; C18</t>
  </si>
  <si>
    <t>KKG</t>
  </si>
  <si>
    <t>#16</t>
  </si>
  <si>
    <t>C17 + C2 --&gt; C19</t>
  </si>
  <si>
    <t>KPP</t>
  </si>
  <si>
    <t>C16 + C3 --&gt; C19</t>
  </si>
  <si>
    <t>KKH</t>
  </si>
  <si>
    <t>C15 + C4 --&gt; C19</t>
  </si>
  <si>
    <t>KKI</t>
  </si>
  <si>
    <t>C14 + C5 --&gt; C19</t>
  </si>
  <si>
    <t>KKJ</t>
  </si>
  <si>
    <t>#17</t>
  </si>
  <si>
    <t>C18 + C2 --&gt; C20</t>
  </si>
  <si>
    <t>KQQ</t>
  </si>
  <si>
    <t>C17 + C3 --&gt; C20</t>
  </si>
  <si>
    <t>KKL</t>
  </si>
  <si>
    <t>C16 + C4 --&gt; C20</t>
  </si>
  <si>
    <t>KKM</t>
  </si>
  <si>
    <t>C15 + C5 --&gt; C20</t>
  </si>
  <si>
    <t>KKN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</si>
</sst>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64" fontId="0" fillId="0" borderId="0" xfId="0" applyNumberFormat="1"/>
    <xf numFmtId="0" fontId="1" fillId="2" borderId="0" xfId="1" applyAlignment="1">
      <alignment horizontal="right"/>
    </xf>
    <xf numFmtId="0" fontId="0" fillId="0" borderId="3" xfId="0" applyBorder="1" applyAlignment="1">
      <alignment vertical="center"/>
    </xf>
    <xf numFmtId="0" fontId="3" fillId="0" borderId="0" xfId="0" applyFont="1" applyFill="1"/>
    <xf numFmtId="0" fontId="0" fillId="0" borderId="4" xfId="0" applyBorder="1" applyAlignment="1">
      <alignment vertical="center"/>
    </xf>
    <xf numFmtId="0" fontId="2" fillId="3" borderId="0" xfId="0" applyFont="1" applyFill="1"/>
    <xf numFmtId="0" fontId="4" fillId="0" borderId="0" xfId="0" applyFont="1" applyFill="1"/>
    <xf numFmtId="0" fontId="0" fillId="0" borderId="5" xfId="0" applyBorder="1" applyAlignment="1">
      <alignment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G64"/>
  <sheetViews>
    <sheetView tabSelected="1" workbookViewId="0">
      <selection activeCell="D10" sqref="D10"/>
    </sheetView>
  </sheetViews>
  <sheetFormatPr defaultRowHeight="15" x14ac:dyDescent="0.25"/>
  <cols>
    <col min="1" max="1" width="13.7109375" bestFit="1" customWidth="1"/>
    <col min="2" max="2" width="14.7109375" bestFit="1" customWidth="1"/>
    <col min="6" max="6" width="15.5703125" bestFit="1" customWidth="1"/>
  </cols>
  <sheetData>
    <row r="2" spans="1:7" x14ac:dyDescent="0.25">
      <c r="C2" s="13" t="s">
        <v>0</v>
      </c>
      <c r="D2" s="14"/>
      <c r="E2" s="13" t="s">
        <v>1</v>
      </c>
      <c r="F2" s="14"/>
    </row>
    <row r="3" spans="1:7" x14ac:dyDescent="0.25">
      <c r="A3" t="s">
        <v>2</v>
      </c>
      <c r="B3" s="1"/>
      <c r="C3" t="s">
        <v>3</v>
      </c>
      <c r="D3" t="s">
        <v>4</v>
      </c>
      <c r="E3" t="s">
        <v>5</v>
      </c>
      <c r="F3" t="s">
        <v>6</v>
      </c>
    </row>
    <row r="4" spans="1:7" x14ac:dyDescent="0.25">
      <c r="A4" s="2" t="s">
        <v>7</v>
      </c>
      <c r="B4" s="1" t="s">
        <v>8</v>
      </c>
      <c r="C4" s="3">
        <v>12700000</v>
      </c>
      <c r="D4" s="4">
        <f>C4/3600</f>
        <v>3527.7777777777778</v>
      </c>
      <c r="E4">
        <v>17633</v>
      </c>
      <c r="F4">
        <f>E4/4.184/1000</f>
        <v>4.2143881453154872</v>
      </c>
    </row>
    <row r="5" spans="1:7" x14ac:dyDescent="0.25">
      <c r="A5" s="2" t="s">
        <v>9</v>
      </c>
      <c r="B5" s="1" t="s">
        <v>10</v>
      </c>
      <c r="C5" s="3">
        <v>634000</v>
      </c>
      <c r="D5" s="4">
        <f>C5/3600</f>
        <v>176.11111111111111</v>
      </c>
      <c r="E5">
        <v>15855</v>
      </c>
      <c r="F5">
        <f>E5/4.184/1000</f>
        <v>3.789435946462715</v>
      </c>
    </row>
    <row r="7" spans="1:7" x14ac:dyDescent="0.25">
      <c r="D7" t="s">
        <v>11</v>
      </c>
    </row>
    <row r="8" spans="1:7" x14ac:dyDescent="0.25">
      <c r="D8" t="s">
        <v>12</v>
      </c>
      <c r="E8" t="s">
        <v>13</v>
      </c>
    </row>
    <row r="9" spans="1:7" x14ac:dyDescent="0.25">
      <c r="A9" s="5" t="s">
        <v>14</v>
      </c>
      <c r="B9" s="2" t="s">
        <v>15</v>
      </c>
      <c r="C9" t="s">
        <v>16</v>
      </c>
      <c r="D9">
        <v>2</v>
      </c>
      <c r="E9">
        <f>$D$4*D9</f>
        <v>7055.5555555555557</v>
      </c>
      <c r="G9">
        <v>2</v>
      </c>
    </row>
    <row r="10" spans="1:7" x14ac:dyDescent="0.25">
      <c r="A10" s="5" t="s">
        <v>17</v>
      </c>
      <c r="B10" s="2" t="s">
        <v>18</v>
      </c>
      <c r="C10" t="s">
        <v>19</v>
      </c>
      <c r="D10">
        <v>2</v>
      </c>
      <c r="E10">
        <f t="shared" ref="E10:E17" si="0">$D$4*D10</f>
        <v>7055.5555555555557</v>
      </c>
      <c r="G10">
        <v>2</v>
      </c>
    </row>
    <row r="11" spans="1:7" x14ac:dyDescent="0.25">
      <c r="A11" s="5" t="s">
        <v>20</v>
      </c>
      <c r="B11" s="6" t="s">
        <v>21</v>
      </c>
      <c r="C11" t="s">
        <v>22</v>
      </c>
      <c r="D11">
        <v>2</v>
      </c>
      <c r="E11">
        <f t="shared" si="0"/>
        <v>7055.5555555555557</v>
      </c>
      <c r="F11" s="7" t="s">
        <v>23</v>
      </c>
      <c r="G11">
        <v>2</v>
      </c>
    </row>
    <row r="12" spans="1:7" x14ac:dyDescent="0.25">
      <c r="A12">
        <v>1</v>
      </c>
      <c r="B12" s="8" t="s">
        <v>24</v>
      </c>
      <c r="C12" t="s">
        <v>25</v>
      </c>
      <c r="D12">
        <v>1.2</v>
      </c>
      <c r="E12">
        <f t="shared" si="0"/>
        <v>4233.333333333333</v>
      </c>
      <c r="F12" s="9" t="s">
        <v>26</v>
      </c>
      <c r="G12">
        <v>1.2</v>
      </c>
    </row>
    <row r="13" spans="1:7" x14ac:dyDescent="0.25">
      <c r="A13" s="5" t="s">
        <v>27</v>
      </c>
      <c r="B13" s="2" t="s">
        <v>28</v>
      </c>
      <c r="C13" t="s">
        <v>29</v>
      </c>
      <c r="D13">
        <v>2</v>
      </c>
      <c r="E13">
        <f t="shared" si="0"/>
        <v>7055.5555555555557</v>
      </c>
      <c r="F13" s="9" t="s">
        <v>30</v>
      </c>
      <c r="G13">
        <v>2</v>
      </c>
    </row>
    <row r="14" spans="1:7" x14ac:dyDescent="0.25">
      <c r="A14">
        <v>2</v>
      </c>
      <c r="B14" s="2" t="s">
        <v>31</v>
      </c>
      <c r="C14" t="s">
        <v>32</v>
      </c>
      <c r="D14">
        <v>1.2</v>
      </c>
      <c r="E14">
        <f t="shared" si="0"/>
        <v>4233.333333333333</v>
      </c>
      <c r="F14" s="7" t="s">
        <v>33</v>
      </c>
      <c r="G14">
        <v>1.2</v>
      </c>
    </row>
    <row r="15" spans="1:7" x14ac:dyDescent="0.25">
      <c r="A15" s="5" t="s">
        <v>34</v>
      </c>
      <c r="B15" s="6" t="s">
        <v>35</v>
      </c>
      <c r="C15" t="s">
        <v>36</v>
      </c>
      <c r="D15">
        <v>2</v>
      </c>
      <c r="E15">
        <f t="shared" si="0"/>
        <v>7055.5555555555557</v>
      </c>
      <c r="F15" s="10" t="s">
        <v>37</v>
      </c>
      <c r="G15">
        <v>2</v>
      </c>
    </row>
    <row r="16" spans="1:7" x14ac:dyDescent="0.25">
      <c r="A16">
        <v>3</v>
      </c>
      <c r="B16" s="11" t="s">
        <v>38</v>
      </c>
      <c r="C16" t="s">
        <v>39</v>
      </c>
      <c r="D16">
        <v>1.2</v>
      </c>
      <c r="E16">
        <f t="shared" si="0"/>
        <v>4233.333333333333</v>
      </c>
      <c r="F16" s="7" t="s">
        <v>40</v>
      </c>
      <c r="G16">
        <v>1.2</v>
      </c>
    </row>
    <row r="17" spans="1:7" x14ac:dyDescent="0.25">
      <c r="A17">
        <v>4</v>
      </c>
      <c r="B17" s="8" t="s">
        <v>41</v>
      </c>
      <c r="C17" t="s">
        <v>42</v>
      </c>
      <c r="D17">
        <v>1</v>
      </c>
      <c r="E17">
        <f t="shared" si="0"/>
        <v>3527.7777777777778</v>
      </c>
      <c r="F17" s="9" t="s">
        <v>43</v>
      </c>
      <c r="G17">
        <v>1</v>
      </c>
    </row>
    <row r="18" spans="1:7" x14ac:dyDescent="0.25">
      <c r="A18" s="5" t="s">
        <v>44</v>
      </c>
      <c r="B18" s="2" t="s">
        <v>45</v>
      </c>
      <c r="C18" t="s">
        <v>46</v>
      </c>
      <c r="D18">
        <v>2</v>
      </c>
      <c r="E18">
        <f>$D$5*D18</f>
        <v>352.22222222222223</v>
      </c>
      <c r="F18" s="9" t="s">
        <v>47</v>
      </c>
      <c r="G18">
        <v>2</v>
      </c>
    </row>
    <row r="19" spans="1:7" x14ac:dyDescent="0.25">
      <c r="A19" s="12">
        <v>7</v>
      </c>
      <c r="B19" s="2" t="s">
        <v>48</v>
      </c>
      <c r="C19" t="s">
        <v>49</v>
      </c>
      <c r="D19">
        <v>1.2</v>
      </c>
      <c r="E19">
        <f>$D$5*D19</f>
        <v>211.33333333333334</v>
      </c>
      <c r="F19" s="7" t="s">
        <v>50</v>
      </c>
      <c r="G19">
        <v>1.2</v>
      </c>
    </row>
    <row r="20" spans="1:7" x14ac:dyDescent="0.25">
      <c r="A20" s="12">
        <v>5</v>
      </c>
      <c r="B20" s="2" t="s">
        <v>51</v>
      </c>
      <c r="C20" t="s">
        <v>52</v>
      </c>
      <c r="D20">
        <v>1</v>
      </c>
      <c r="E20">
        <f>$D$5*D20</f>
        <v>176.11111111111111</v>
      </c>
      <c r="F20" s="7" t="s">
        <v>53</v>
      </c>
      <c r="G20">
        <v>1</v>
      </c>
    </row>
    <row r="21" spans="1:7" x14ac:dyDescent="0.25">
      <c r="A21" s="5" t="s">
        <v>54</v>
      </c>
      <c r="B21" s="6" t="s">
        <v>55</v>
      </c>
      <c r="C21" t="s">
        <v>56</v>
      </c>
      <c r="D21">
        <v>2</v>
      </c>
      <c r="E21">
        <f t="shared" ref="E21:E64" si="1">$D$5*D21</f>
        <v>352.22222222222223</v>
      </c>
      <c r="F21" s="7" t="s">
        <v>57</v>
      </c>
      <c r="G21">
        <v>2</v>
      </c>
    </row>
    <row r="22" spans="1:7" x14ac:dyDescent="0.25">
      <c r="A22" s="12">
        <v>10</v>
      </c>
      <c r="B22" s="11" t="s">
        <v>58</v>
      </c>
      <c r="C22" t="s">
        <v>59</v>
      </c>
      <c r="D22">
        <v>1.2</v>
      </c>
      <c r="E22">
        <f t="shared" si="1"/>
        <v>211.33333333333334</v>
      </c>
      <c r="F22" t="s">
        <v>60</v>
      </c>
      <c r="G22">
        <v>1.2</v>
      </c>
    </row>
    <row r="23" spans="1:7" x14ac:dyDescent="0.25">
      <c r="A23" s="12">
        <v>8</v>
      </c>
      <c r="B23" s="11" t="s">
        <v>61</v>
      </c>
      <c r="C23" t="s">
        <v>62</v>
      </c>
      <c r="D23">
        <v>1</v>
      </c>
      <c r="E23">
        <f t="shared" si="1"/>
        <v>176.11111111111111</v>
      </c>
      <c r="F23" t="s">
        <v>60</v>
      </c>
      <c r="G23">
        <v>1</v>
      </c>
    </row>
    <row r="24" spans="1:7" x14ac:dyDescent="0.25">
      <c r="A24" s="12">
        <v>6</v>
      </c>
      <c r="B24" s="8" t="s">
        <v>63</v>
      </c>
      <c r="C24" t="s">
        <v>64</v>
      </c>
      <c r="D24">
        <v>0.8</v>
      </c>
      <c r="E24">
        <f t="shared" si="1"/>
        <v>140.88888888888889</v>
      </c>
      <c r="F24" s="9" t="s">
        <v>65</v>
      </c>
      <c r="G24">
        <v>0.8</v>
      </c>
    </row>
    <row r="25" spans="1:7" x14ac:dyDescent="0.25">
      <c r="A25" s="5" t="s">
        <v>66</v>
      </c>
      <c r="B25" s="2" t="s">
        <v>67</v>
      </c>
      <c r="C25" t="s">
        <v>68</v>
      </c>
      <c r="D25">
        <v>2</v>
      </c>
      <c r="E25">
        <f t="shared" si="1"/>
        <v>352.22222222222223</v>
      </c>
      <c r="F25" t="s">
        <v>60</v>
      </c>
      <c r="G25">
        <v>2</v>
      </c>
    </row>
    <row r="26" spans="1:7" x14ac:dyDescent="0.25">
      <c r="A26" s="12">
        <v>13</v>
      </c>
      <c r="B26" s="2" t="s">
        <v>69</v>
      </c>
      <c r="C26" t="s">
        <v>70</v>
      </c>
      <c r="D26">
        <v>1.2</v>
      </c>
      <c r="E26">
        <f t="shared" si="1"/>
        <v>211.33333333333334</v>
      </c>
      <c r="F26" s="7" t="s">
        <v>71</v>
      </c>
      <c r="G26">
        <v>1.2</v>
      </c>
    </row>
    <row r="27" spans="1:7" x14ac:dyDescent="0.25">
      <c r="A27" s="12">
        <v>11</v>
      </c>
      <c r="B27" s="2" t="s">
        <v>72</v>
      </c>
      <c r="C27" t="s">
        <v>73</v>
      </c>
      <c r="D27">
        <v>1</v>
      </c>
      <c r="E27">
        <f t="shared" si="1"/>
        <v>176.11111111111111</v>
      </c>
      <c r="F27" t="s">
        <v>60</v>
      </c>
      <c r="G27">
        <v>1</v>
      </c>
    </row>
    <row r="28" spans="1:7" x14ac:dyDescent="0.25">
      <c r="A28" s="12">
        <v>9</v>
      </c>
      <c r="B28" s="2" t="s">
        <v>74</v>
      </c>
      <c r="C28" t="s">
        <v>75</v>
      </c>
      <c r="D28">
        <v>0.8</v>
      </c>
      <c r="E28">
        <f t="shared" si="1"/>
        <v>140.88888888888889</v>
      </c>
      <c r="F28" s="9" t="s">
        <v>76</v>
      </c>
      <c r="G28">
        <v>0.8</v>
      </c>
    </row>
    <row r="29" spans="1:7" x14ac:dyDescent="0.25">
      <c r="A29" s="5" t="s">
        <v>77</v>
      </c>
      <c r="B29" s="6" t="s">
        <v>78</v>
      </c>
      <c r="C29" t="s">
        <v>79</v>
      </c>
      <c r="D29">
        <v>2</v>
      </c>
      <c r="E29">
        <f t="shared" si="1"/>
        <v>352.22222222222223</v>
      </c>
      <c r="F29" s="9" t="s">
        <v>80</v>
      </c>
      <c r="G29">
        <v>2</v>
      </c>
    </row>
    <row r="30" spans="1:7" x14ac:dyDescent="0.25">
      <c r="A30" s="12">
        <v>16</v>
      </c>
      <c r="B30" s="11" t="s">
        <v>81</v>
      </c>
      <c r="C30" t="s">
        <v>82</v>
      </c>
      <c r="D30">
        <v>1.2</v>
      </c>
      <c r="E30">
        <f t="shared" si="1"/>
        <v>211.33333333333334</v>
      </c>
      <c r="F30" t="s">
        <v>60</v>
      </c>
      <c r="G30">
        <v>1.2</v>
      </c>
    </row>
    <row r="31" spans="1:7" x14ac:dyDescent="0.25">
      <c r="A31" s="12">
        <v>14</v>
      </c>
      <c r="B31" s="11" t="s">
        <v>83</v>
      </c>
      <c r="C31" t="s">
        <v>84</v>
      </c>
      <c r="D31">
        <v>1</v>
      </c>
      <c r="E31">
        <f t="shared" si="1"/>
        <v>176.11111111111111</v>
      </c>
      <c r="F31" s="7" t="s">
        <v>85</v>
      </c>
      <c r="G31">
        <v>1</v>
      </c>
    </row>
    <row r="32" spans="1:7" x14ac:dyDescent="0.25">
      <c r="A32" s="12">
        <v>12</v>
      </c>
      <c r="B32" s="8" t="s">
        <v>86</v>
      </c>
      <c r="C32" t="s">
        <v>87</v>
      </c>
      <c r="D32">
        <v>0.8</v>
      </c>
      <c r="E32">
        <f t="shared" si="1"/>
        <v>140.88888888888889</v>
      </c>
      <c r="F32" s="10" t="s">
        <v>88</v>
      </c>
      <c r="G32">
        <v>0.8</v>
      </c>
    </row>
    <row r="33" spans="1:7" x14ac:dyDescent="0.25">
      <c r="A33" s="5" t="s">
        <v>89</v>
      </c>
      <c r="B33" s="2" t="s">
        <v>90</v>
      </c>
      <c r="C33" t="s">
        <v>91</v>
      </c>
      <c r="D33">
        <v>2</v>
      </c>
      <c r="E33">
        <f t="shared" si="1"/>
        <v>352.22222222222223</v>
      </c>
      <c r="F33" t="s">
        <v>60</v>
      </c>
      <c r="G33">
        <v>2</v>
      </c>
    </row>
    <row r="34" spans="1:7" x14ac:dyDescent="0.25">
      <c r="A34" s="12">
        <v>19</v>
      </c>
      <c r="B34" s="2" t="s">
        <v>92</v>
      </c>
      <c r="C34" t="s">
        <v>93</v>
      </c>
      <c r="D34">
        <v>1.2</v>
      </c>
      <c r="E34">
        <f t="shared" si="1"/>
        <v>211.33333333333334</v>
      </c>
      <c r="F34" t="s">
        <v>60</v>
      </c>
      <c r="G34">
        <v>1.2</v>
      </c>
    </row>
    <row r="35" spans="1:7" x14ac:dyDescent="0.25">
      <c r="A35" s="12">
        <v>17</v>
      </c>
      <c r="B35" s="2" t="s">
        <v>94</v>
      </c>
      <c r="C35" t="s">
        <v>95</v>
      </c>
      <c r="D35">
        <v>1</v>
      </c>
      <c r="E35">
        <f t="shared" si="1"/>
        <v>176.11111111111111</v>
      </c>
      <c r="F35" t="s">
        <v>60</v>
      </c>
      <c r="G35">
        <v>1</v>
      </c>
    </row>
    <row r="36" spans="1:7" x14ac:dyDescent="0.25">
      <c r="A36" s="12">
        <v>15</v>
      </c>
      <c r="B36" s="2" t="s">
        <v>96</v>
      </c>
      <c r="C36" t="s">
        <v>97</v>
      </c>
      <c r="D36">
        <v>0.8</v>
      </c>
      <c r="E36">
        <f t="shared" si="1"/>
        <v>140.88888888888889</v>
      </c>
      <c r="F36" s="9" t="s">
        <v>98</v>
      </c>
      <c r="G36">
        <v>0.8</v>
      </c>
    </row>
    <row r="37" spans="1:7" x14ac:dyDescent="0.25">
      <c r="A37" s="5" t="s">
        <v>99</v>
      </c>
      <c r="B37" s="6" t="s">
        <v>100</v>
      </c>
      <c r="C37" t="s">
        <v>101</v>
      </c>
      <c r="D37">
        <v>0</v>
      </c>
      <c r="E37">
        <f t="shared" si="1"/>
        <v>0</v>
      </c>
      <c r="G37">
        <v>2</v>
      </c>
    </row>
    <row r="38" spans="1:7" x14ac:dyDescent="0.25">
      <c r="A38" s="12">
        <v>22</v>
      </c>
      <c r="B38" s="11" t="s">
        <v>102</v>
      </c>
      <c r="C38" t="s">
        <v>103</v>
      </c>
      <c r="D38">
        <v>0</v>
      </c>
      <c r="E38">
        <f t="shared" si="1"/>
        <v>0</v>
      </c>
      <c r="G38">
        <v>1.2</v>
      </c>
    </row>
    <row r="39" spans="1:7" x14ac:dyDescent="0.25">
      <c r="A39" s="12">
        <v>20</v>
      </c>
      <c r="B39" s="11" t="s">
        <v>104</v>
      </c>
      <c r="C39" t="s">
        <v>105</v>
      </c>
      <c r="D39">
        <v>0</v>
      </c>
      <c r="E39">
        <f t="shared" si="1"/>
        <v>0</v>
      </c>
      <c r="G39">
        <v>1</v>
      </c>
    </row>
    <row r="40" spans="1:7" x14ac:dyDescent="0.25">
      <c r="A40" s="12">
        <v>18</v>
      </c>
      <c r="B40" s="8" t="s">
        <v>106</v>
      </c>
      <c r="C40" t="s">
        <v>107</v>
      </c>
      <c r="D40">
        <v>0.8</v>
      </c>
      <c r="E40">
        <f t="shared" si="1"/>
        <v>140.88888888888889</v>
      </c>
      <c r="G40">
        <v>0.8</v>
      </c>
    </row>
    <row r="41" spans="1:7" x14ac:dyDescent="0.25">
      <c r="A41" s="5" t="s">
        <v>108</v>
      </c>
      <c r="B41" s="2" t="s">
        <v>109</v>
      </c>
      <c r="C41" t="s">
        <v>110</v>
      </c>
      <c r="D41">
        <v>2</v>
      </c>
      <c r="E41">
        <f t="shared" si="1"/>
        <v>352.22222222222223</v>
      </c>
      <c r="G41">
        <v>2</v>
      </c>
    </row>
    <row r="42" spans="1:7" x14ac:dyDescent="0.25">
      <c r="A42" s="12">
        <v>25</v>
      </c>
      <c r="B42" s="2" t="s">
        <v>111</v>
      </c>
      <c r="C42" t="s">
        <v>112</v>
      </c>
      <c r="D42">
        <v>1.2</v>
      </c>
      <c r="E42">
        <f t="shared" si="1"/>
        <v>211.33333333333334</v>
      </c>
      <c r="G42">
        <v>1.2</v>
      </c>
    </row>
    <row r="43" spans="1:7" x14ac:dyDescent="0.25">
      <c r="A43" s="12">
        <v>23</v>
      </c>
      <c r="B43" s="2" t="s">
        <v>113</v>
      </c>
      <c r="C43" t="s">
        <v>114</v>
      </c>
      <c r="D43">
        <v>1</v>
      </c>
      <c r="E43">
        <f t="shared" si="1"/>
        <v>176.11111111111111</v>
      </c>
      <c r="G43">
        <v>1</v>
      </c>
    </row>
    <row r="44" spans="1:7" x14ac:dyDescent="0.25">
      <c r="A44" s="12">
        <v>21</v>
      </c>
      <c r="B44" s="2" t="s">
        <v>115</v>
      </c>
      <c r="C44" t="s">
        <v>116</v>
      </c>
      <c r="D44">
        <v>0.8</v>
      </c>
      <c r="E44">
        <f t="shared" si="1"/>
        <v>140.88888888888889</v>
      </c>
      <c r="G44">
        <v>0.8</v>
      </c>
    </row>
    <row r="45" spans="1:7" x14ac:dyDescent="0.25">
      <c r="A45" s="5" t="s">
        <v>117</v>
      </c>
      <c r="B45" s="6" t="s">
        <v>118</v>
      </c>
      <c r="C45" t="s">
        <v>119</v>
      </c>
      <c r="D45">
        <v>2</v>
      </c>
      <c r="E45">
        <f t="shared" si="1"/>
        <v>352.22222222222223</v>
      </c>
      <c r="G45">
        <v>2</v>
      </c>
    </row>
    <row r="46" spans="1:7" x14ac:dyDescent="0.25">
      <c r="A46" s="12">
        <v>28</v>
      </c>
      <c r="B46" s="11" t="s">
        <v>120</v>
      </c>
      <c r="C46" t="s">
        <v>121</v>
      </c>
      <c r="D46">
        <v>1.2</v>
      </c>
      <c r="E46">
        <f t="shared" si="1"/>
        <v>211.33333333333334</v>
      </c>
      <c r="G46">
        <v>1.2</v>
      </c>
    </row>
    <row r="47" spans="1:7" x14ac:dyDescent="0.25">
      <c r="A47" s="12">
        <v>26</v>
      </c>
      <c r="B47" s="11" t="s">
        <v>122</v>
      </c>
      <c r="C47" t="s">
        <v>123</v>
      </c>
      <c r="D47">
        <v>1</v>
      </c>
      <c r="E47">
        <f t="shared" si="1"/>
        <v>176.11111111111111</v>
      </c>
      <c r="G47">
        <v>1</v>
      </c>
    </row>
    <row r="48" spans="1:7" x14ac:dyDescent="0.25">
      <c r="A48" s="12">
        <v>24</v>
      </c>
      <c r="B48" s="8" t="s">
        <v>124</v>
      </c>
      <c r="C48" t="s">
        <v>125</v>
      </c>
      <c r="D48">
        <v>0.8</v>
      </c>
      <c r="E48">
        <f t="shared" si="1"/>
        <v>140.88888888888889</v>
      </c>
      <c r="G48">
        <v>0.8</v>
      </c>
    </row>
    <row r="49" spans="1:7" x14ac:dyDescent="0.25">
      <c r="A49" s="5" t="s">
        <v>126</v>
      </c>
      <c r="B49" s="2" t="s">
        <v>127</v>
      </c>
      <c r="C49" t="s">
        <v>128</v>
      </c>
      <c r="D49">
        <v>2</v>
      </c>
      <c r="E49">
        <f t="shared" si="1"/>
        <v>352.22222222222223</v>
      </c>
      <c r="G49">
        <v>2</v>
      </c>
    </row>
    <row r="50" spans="1:7" x14ac:dyDescent="0.25">
      <c r="A50" s="12">
        <v>31</v>
      </c>
      <c r="B50" s="2" t="s">
        <v>129</v>
      </c>
      <c r="C50" t="s">
        <v>130</v>
      </c>
      <c r="D50">
        <v>1.2</v>
      </c>
      <c r="E50">
        <f t="shared" si="1"/>
        <v>211.33333333333334</v>
      </c>
      <c r="G50">
        <v>1.2</v>
      </c>
    </row>
    <row r="51" spans="1:7" x14ac:dyDescent="0.25">
      <c r="A51" s="12">
        <v>29</v>
      </c>
      <c r="B51" s="2" t="s">
        <v>131</v>
      </c>
      <c r="C51" t="s">
        <v>132</v>
      </c>
      <c r="D51">
        <v>1</v>
      </c>
      <c r="E51">
        <f t="shared" si="1"/>
        <v>176.11111111111111</v>
      </c>
      <c r="G51">
        <v>1</v>
      </c>
    </row>
    <row r="52" spans="1:7" x14ac:dyDescent="0.25">
      <c r="A52" s="12">
        <v>27</v>
      </c>
      <c r="B52" s="2" t="s">
        <v>133</v>
      </c>
      <c r="C52" t="s">
        <v>134</v>
      </c>
      <c r="D52">
        <v>0.8</v>
      </c>
      <c r="E52">
        <f t="shared" si="1"/>
        <v>140.88888888888889</v>
      </c>
      <c r="G52">
        <v>0.8</v>
      </c>
    </row>
    <row r="53" spans="1:7" x14ac:dyDescent="0.25">
      <c r="A53" s="5" t="s">
        <v>135</v>
      </c>
      <c r="B53" s="6" t="s">
        <v>136</v>
      </c>
      <c r="C53" t="s">
        <v>137</v>
      </c>
      <c r="D53">
        <v>2</v>
      </c>
      <c r="E53">
        <f t="shared" si="1"/>
        <v>352.22222222222223</v>
      </c>
      <c r="G53">
        <v>2</v>
      </c>
    </row>
    <row r="54" spans="1:7" x14ac:dyDescent="0.25">
      <c r="A54" s="12">
        <v>34</v>
      </c>
      <c r="B54" s="11" t="s">
        <v>138</v>
      </c>
      <c r="C54" t="s">
        <v>139</v>
      </c>
      <c r="D54">
        <v>1.2</v>
      </c>
      <c r="E54">
        <f t="shared" si="1"/>
        <v>211.33333333333334</v>
      </c>
      <c r="G54">
        <v>1.2</v>
      </c>
    </row>
    <row r="55" spans="1:7" x14ac:dyDescent="0.25">
      <c r="A55" s="12">
        <v>32</v>
      </c>
      <c r="B55" s="11" t="s">
        <v>140</v>
      </c>
      <c r="C55" t="s">
        <v>141</v>
      </c>
      <c r="D55">
        <v>1</v>
      </c>
      <c r="E55">
        <f t="shared" si="1"/>
        <v>176.11111111111111</v>
      </c>
      <c r="G55">
        <v>1</v>
      </c>
    </row>
    <row r="56" spans="1:7" x14ac:dyDescent="0.25">
      <c r="A56" s="12">
        <v>30</v>
      </c>
      <c r="B56" s="8" t="s">
        <v>142</v>
      </c>
      <c r="C56" t="s">
        <v>143</v>
      </c>
      <c r="D56">
        <v>0.8</v>
      </c>
      <c r="E56">
        <f t="shared" si="1"/>
        <v>140.88888888888889</v>
      </c>
      <c r="G56">
        <v>0.8</v>
      </c>
    </row>
    <row r="57" spans="1:7" x14ac:dyDescent="0.25">
      <c r="A57" s="5" t="s">
        <v>144</v>
      </c>
      <c r="B57" s="2" t="s">
        <v>145</v>
      </c>
      <c r="C57" t="s">
        <v>146</v>
      </c>
      <c r="D57">
        <v>2</v>
      </c>
      <c r="E57">
        <f t="shared" si="1"/>
        <v>352.22222222222223</v>
      </c>
      <c r="G57">
        <v>2</v>
      </c>
    </row>
    <row r="58" spans="1:7" x14ac:dyDescent="0.25">
      <c r="A58" s="12">
        <v>37</v>
      </c>
      <c r="B58" s="2" t="s">
        <v>147</v>
      </c>
      <c r="C58" t="s">
        <v>148</v>
      </c>
      <c r="D58">
        <v>1.2</v>
      </c>
      <c r="E58">
        <f t="shared" si="1"/>
        <v>211.33333333333334</v>
      </c>
      <c r="G58">
        <v>1.2</v>
      </c>
    </row>
    <row r="59" spans="1:7" x14ac:dyDescent="0.25">
      <c r="A59" s="12">
        <v>35</v>
      </c>
      <c r="B59" s="2" t="s">
        <v>149</v>
      </c>
      <c r="C59" t="s">
        <v>150</v>
      </c>
      <c r="D59">
        <v>1</v>
      </c>
      <c r="E59">
        <f t="shared" si="1"/>
        <v>176.11111111111111</v>
      </c>
      <c r="G59">
        <v>1</v>
      </c>
    </row>
    <row r="60" spans="1:7" x14ac:dyDescent="0.25">
      <c r="A60" s="12">
        <v>33</v>
      </c>
      <c r="B60" s="2" t="s">
        <v>151</v>
      </c>
      <c r="C60" t="s">
        <v>152</v>
      </c>
      <c r="D60">
        <v>0.8</v>
      </c>
      <c r="E60">
        <f t="shared" si="1"/>
        <v>140.88888888888889</v>
      </c>
      <c r="G60">
        <v>0.8</v>
      </c>
    </row>
    <row r="61" spans="1:7" x14ac:dyDescent="0.25">
      <c r="A61" s="5" t="s">
        <v>153</v>
      </c>
      <c r="B61" s="6" t="s">
        <v>154</v>
      </c>
      <c r="C61" t="s">
        <v>155</v>
      </c>
      <c r="D61">
        <v>2</v>
      </c>
      <c r="E61">
        <f t="shared" si="1"/>
        <v>352.22222222222223</v>
      </c>
      <c r="G61">
        <v>2</v>
      </c>
    </row>
    <row r="62" spans="1:7" x14ac:dyDescent="0.25">
      <c r="A62" s="12">
        <v>39</v>
      </c>
      <c r="B62" s="11" t="s">
        <v>156</v>
      </c>
      <c r="C62" t="s">
        <v>157</v>
      </c>
      <c r="D62">
        <v>1.2</v>
      </c>
      <c r="E62">
        <f t="shared" si="1"/>
        <v>211.33333333333334</v>
      </c>
      <c r="G62">
        <v>1.2</v>
      </c>
    </row>
    <row r="63" spans="1:7" x14ac:dyDescent="0.25">
      <c r="A63" s="12">
        <v>38</v>
      </c>
      <c r="B63" s="11" t="s">
        <v>158</v>
      </c>
      <c r="C63" t="s">
        <v>159</v>
      </c>
      <c r="D63">
        <v>1</v>
      </c>
      <c r="E63">
        <f t="shared" si="1"/>
        <v>176.11111111111111</v>
      </c>
      <c r="G63">
        <v>1</v>
      </c>
    </row>
    <row r="64" spans="1:7" x14ac:dyDescent="0.25">
      <c r="A64" s="12">
        <v>36</v>
      </c>
      <c r="B64" s="8" t="s">
        <v>160</v>
      </c>
      <c r="C64" t="s">
        <v>161</v>
      </c>
      <c r="D64">
        <v>0.8</v>
      </c>
      <c r="E64">
        <f t="shared" si="1"/>
        <v>140.88888888888889</v>
      </c>
      <c r="G64">
        <v>0.8</v>
      </c>
    </row>
  </sheetData>
  <mergeCells count="2">
    <mergeCell ref="C2:D2"/>
    <mergeCell ref="E2:F2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DLR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Gosaliya, Dheirya</dc:creator>
  <cp:lastModifiedBy>Gosaliya, Dheirya</cp:lastModifiedBy>
  <cp:lastPrinted>2019-12-17T09:48:53Z</cp:lastPrinted>
  <dcterms:created xsi:type="dcterms:W3CDTF">2019-12-13T09:39:15Z</dcterms:created>
  <dcterms:modified xsi:type="dcterms:W3CDTF">2020-01-13T12:40:39Z</dcterms:modified>
</cp:coreProperties>
</file>